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t="inlineStr">
        <is>
          <t>Presupuesto - Evolucion Tecnologica Lirios Eventos</t>
        </is>
      </c>
    </row>
    <row r="2">
      <c r="A2" t="inlineStr">
        <is>
          <t>Fecha</t>
        </is>
      </c>
      <c r="B2" t="inlineStr">
        <is>
          <t>2026-01-17</t>
        </is>
      </c>
    </row>
    <row r="3">
      <c r="A3" t="inlineStr">
        <is>
          <t>Moneda</t>
        </is>
      </c>
      <c r="B3" t="inlineStr">
        <is>
          <t>USD</t>
        </is>
      </c>
    </row>
    <row r="4">
      <c r="A4" t="inlineStr">
        <is>
          <t>Tarifa por hora</t>
        </is>
      </c>
      <c r="B4" t="n">
        <v>20</v>
      </c>
    </row>
    <row r="6">
      <c r="A6" t="inlineStr">
        <is>
          <t>Detalle de desarrollo</t>
        </is>
      </c>
    </row>
    <row r="7">
      <c r="A7" t="inlineStr">
        <is>
          <t>Modulo</t>
        </is>
      </c>
      <c r="B7" t="inlineStr">
        <is>
          <t>Horas</t>
        </is>
      </c>
      <c r="C7" t="inlineStr">
        <is>
          <t>Costo</t>
        </is>
      </c>
    </row>
    <row r="8">
      <c r="A8" t="inlineStr">
        <is>
          <t>Analisis funcional y alcance detallado</t>
        </is>
      </c>
      <c r="B8" t="n">
        <v>24</v>
      </c>
      <c r="C8" s="1">
        <f>B8*$B$4</f>
        <v/>
      </c>
    </row>
    <row r="9">
      <c r="A9" t="inlineStr">
        <is>
          <t>Arquitectura + modelo de datos</t>
        </is>
      </c>
      <c r="B9" t="n">
        <v>32</v>
      </c>
      <c r="C9" s="1">
        <f>B9*$B$4</f>
        <v/>
      </c>
    </row>
    <row r="10">
      <c r="A10" t="inlineStr">
        <is>
          <t>Usuarios/roles/autenticacion/logs</t>
        </is>
      </c>
      <c r="B10" t="n">
        <v>48</v>
      </c>
      <c r="C10" s="1">
        <f>B10*$B$4</f>
        <v/>
      </c>
    </row>
    <row r="11">
      <c r="A11" t="inlineStr">
        <is>
          <t>Clientes</t>
        </is>
      </c>
      <c r="B11" t="n">
        <v>24</v>
      </c>
      <c r="C11" s="1">
        <f>B11*$B$4</f>
        <v/>
      </c>
    </row>
    <row r="12">
      <c r="A12" t="inlineStr">
        <is>
          <t>Gestion de eventos + planes/paquetes</t>
        </is>
      </c>
      <c r="B12" t="n">
        <v>80</v>
      </c>
      <c r="C12" s="1">
        <f>B12*$B$4</f>
        <v/>
      </c>
    </row>
    <row r="13">
      <c r="A13" t="inlineStr">
        <is>
          <t>Productos/servicios + inventario + promociones</t>
        </is>
      </c>
      <c r="B13" t="n">
        <v>64</v>
      </c>
      <c r="C13" s="1">
        <f>B13*$B$4</f>
        <v/>
      </c>
    </row>
    <row r="14">
      <c r="A14" t="inlineStr">
        <is>
          <t>Pagos/abonos/saldos</t>
        </is>
      </c>
      <c r="B14" t="n">
        <v>48</v>
      </c>
      <c r="C14" s="1">
        <f>B14*$B$4</f>
        <v/>
      </c>
    </row>
    <row r="15">
      <c r="A15" t="inlineStr">
        <is>
          <t>Reportes financieros/operativos</t>
        </is>
      </c>
      <c r="B15" t="n">
        <v>40</v>
      </c>
      <c r="C15" s="1">
        <f>B15*$B$4</f>
        <v/>
      </c>
    </row>
    <row r="16">
      <c r="A16" t="inlineStr">
        <is>
          <t>Preparacion de integraciones</t>
        </is>
      </c>
      <c r="B16" t="n">
        <v>24</v>
      </c>
      <c r="C16" s="1">
        <f>B16*$B$4</f>
        <v/>
      </c>
    </row>
    <row r="17">
      <c r="A17" t="inlineStr">
        <is>
          <t>QA + pruebas + ajustes</t>
        </is>
      </c>
      <c r="B17" t="n">
        <v>40</v>
      </c>
      <c r="C17" s="1">
        <f>B17*$B$4</f>
        <v/>
      </c>
    </row>
    <row r="18">
      <c r="A18" t="inlineStr">
        <is>
          <t>Documentacion + capacitacion + despliegue</t>
        </is>
      </c>
      <c r="B18" t="n">
        <v>24</v>
      </c>
      <c r="C18" s="1">
        <f>B18*$B$4</f>
        <v/>
      </c>
    </row>
    <row r="19">
      <c r="A19" t="inlineStr">
        <is>
          <t>Gestion del proyecto (10%)</t>
        </is>
      </c>
      <c r="B19" t="n">
        <v>45</v>
      </c>
      <c r="C19" s="1">
        <f>B19*$B$4</f>
        <v/>
      </c>
    </row>
    <row r="20">
      <c r="A20" t="inlineStr">
        <is>
          <t>Total horas</t>
        </is>
      </c>
      <c r="B20">
        <f>SUM(B8:B19)</f>
        <v/>
      </c>
      <c r="C20" s="1">
        <f>SUM(C8:C19)</f>
        <v/>
      </c>
    </row>
    <row r="21"/>
    <row r="22">
      <c r="A22" t="inlineStr">
        <is>
          <t>Hosting y dominio (anual)</t>
        </is>
      </c>
    </row>
    <row r="23">
      <c r="A23" t="inlineStr">
        <is>
          <t>Concepto</t>
        </is>
      </c>
      <c r="B23" t="inlineStr">
        <is>
          <t>Min anual</t>
        </is>
      </c>
      <c r="C23" s="1" t="inlineStr">
        <is>
          <t>Max anual</t>
        </is>
      </c>
    </row>
    <row r="24">
      <c r="A24" t="inlineStr">
        <is>
          <t>VPS 2 vCPU / 4 GB RAM / 80 GB SSD</t>
        </is>
      </c>
      <c r="B24" s="1">
        <f>20*12</f>
        <v/>
      </c>
      <c r="C24" s="1">
        <f>40*12</f>
        <v/>
      </c>
    </row>
    <row r="25">
      <c r="A25" t="inlineStr">
        <is>
          <t>Backups gestionados</t>
        </is>
      </c>
      <c r="B25" s="1">
        <f>5*12</f>
        <v/>
      </c>
      <c r="C25" s="1">
        <f>10*12</f>
        <v/>
      </c>
    </row>
    <row r="26">
      <c r="A26" t="inlineStr">
        <is>
          <t>Dominio .com</t>
        </is>
      </c>
      <c r="B26" s="1" t="n">
        <v>12</v>
      </c>
      <c r="C26" s="1" t="n">
        <v>18</v>
      </c>
    </row>
    <row r="27">
      <c r="A27" t="inlineStr">
        <is>
          <t>Total anual estimado</t>
        </is>
      </c>
      <c r="B27" s="1">
        <f>SUM(B24:B26)</f>
        <v/>
      </c>
      <c r="C27" s="1">
        <f>SUM(C24:C26)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2026-01-17T17:24:54Z</dcterms:created>
  <dcterms:modified xmlns:dcterms="http://purl.org/dc/terms/" xmlns:xsi="http://www.w3.org/2001/XMLSchema-instance" xsi:type="dcterms:W3CDTF">2026-01-17T17:24:54Z</dcterms:modified>
</cp:coreProperties>
</file>